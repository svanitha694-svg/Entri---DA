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itha S\Desktop\DA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Sheet1!$A$1:$F$35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1" l="1"/>
  <c r="H5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I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" i="1"/>
  <c r="G2" i="1"/>
  <c r="F50" i="1"/>
  <c r="F48" i="1"/>
  <c r="F44" i="1"/>
  <c r="F42" i="1"/>
  <c r="F40" i="1" l="1"/>
</calcChain>
</file>

<file path=xl/sharedStrings.xml><?xml version="1.0" encoding="utf-8"?>
<sst xmlns="http://schemas.openxmlformats.org/spreadsheetml/2006/main" count="162" uniqueCount="113">
  <si>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</si>
  <si>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</si>
  <si>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</si>
  <si>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</si>
  <si>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</si>
  <si>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</si>
  <si>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</si>
  <si>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</si>
  <si>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</si>
  <si>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</si>
  <si>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</si>
  <si>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</si>
  <si>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</si>
  <si>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</si>
  <si>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</si>
  <si>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</si>
  <si>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</si>
  <si>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</si>
  <si>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</si>
  <si>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</si>
  <si>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</si>
  <si>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</si>
  <si>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</si>
  <si>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</si>
  <si>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</si>
  <si>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</si>
  <si>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</si>
  <si>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</si>
  <si>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</si>
  <si>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</si>
  <si>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</si>
  <si>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</si>
  <si>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</si>
  <si>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</si>
  <si>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</si>
  <si>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</si>
  <si>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</si>
  <si>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</si>
  <si>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</si>
  <si>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</si>
  <si>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</si>
  <si>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</si>
  <si>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</si>
  <si>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</si>
  <si>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</si>
  <si>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</si>
  <si>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</si>
  <si>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</si>
  <si>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</si>
  <si>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</si>
  <si>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</si>
  <si>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</si>
  <si>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</si>
  <si>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</si>
  <si>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</si>
  <si>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</si>
  <si>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</si>
  <si>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</si>
  <si>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</si>
  <si>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</si>
  <si>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</si>
  <si>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</si>
  <si>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</si>
  <si>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</si>
  <si>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</si>
  <si>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</si>
  <si>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</si>
  <si>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</si>
  <si>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</si>
  <si>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</si>
  <si>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</si>
  <si>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</si>
  <si>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</si>
  <si>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</si>
  <si>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</si>
  <si>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</si>
  <si>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</si>
  <si>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</si>
  <si>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</si>
  <si>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</si>
  <si>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</si>
  <si>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</si>
  <si>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</si>
  <si>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</si>
  <si>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</si>
  <si>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</si>
  <si>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</si>
  <si>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</si>
  <si>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</si>
  <si>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</si>
  <si>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</si>
  <si>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</si>
  <si>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</si>
  <si>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What is the total price of all products in the dataset?</t>
  </si>
  <si>
    <t>• How many products are there in the dataset?</t>
  </si>
  <si>
    <t>• Calculate the average price of the products.</t>
  </si>
  <si>
    <t>• Determine the minimum price among all products.</t>
  </si>
  <si>
    <t>• Find the maximum price among all products.</t>
  </si>
  <si>
    <t>• Using an IF function, create a new column named Price Range to categorize products with a price greater than or equal to $500 as 'High Price' and others as 'Standard Price'.</t>
  </si>
  <si>
    <t>• Calculate the total price for products in the 'Electronics' category using the SUMIF function.</t>
  </si>
  <si>
    <t>• Determine the count of products with a price less than $100 using the COUNTIF function.</t>
  </si>
  <si>
    <t>• Create a new column named Day with the first 2 characters of each 'Product ID' using the LEFT function.</t>
  </si>
  <si>
    <t>Day</t>
  </si>
  <si>
    <t>• Create a new column named Country Code by extracting the last 2 characters from the 'Product ID' column using the RIGHT function.</t>
  </si>
  <si>
    <t>Country Code</t>
  </si>
  <si>
    <t>Category Price</t>
  </si>
  <si>
    <t>• Create a new column named Month by extracting 4th to 6th characters from the 'Product ID' column using the MID function.</t>
  </si>
  <si>
    <t>Month</t>
  </si>
  <si>
    <t>5) Text Formatting - LEFT, RIGHT, MID:</t>
  </si>
  <si>
    <t>4) SUMIF and COUNTIF:</t>
  </si>
  <si>
    <t>3) IF Function:</t>
  </si>
  <si>
    <t>2) Min and Max:</t>
  </si>
  <si>
    <t>1) Sum, Count,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</si>
</sst>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2" fontId="0" fillId="0" borderId="0" xfId="0" applyNumberFormat="1" applyFont="1" applyAlignment="1"/>
    <xf numFmtId="0" fontId="4" fillId="0" borderId="0" xfId="0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9"/>
  <sheetViews>
    <sheetView tabSelected="1" workbookViewId="0">
      <selection activeCell="I1" sqref="I1:I1048576"/>
    </sheetView>
  </sheetViews>
  <sheetFormatPr defaultColWidth="12.6328125" defaultRowHeight="14.5" x14ac:dyDescent="0.35"/>
  <cols>
    <col min="1" max="1" width="12.6328125" style="2" customWidth="1"/>
    <col min="2" max="2" width="14.08984375" style="2" customWidth="1"/>
    <col min="3" max="10" width="12.6328125" style="2" customWidth="1"/>
    <col min="11" max="16384" width="12.6328125" style="2"/>
  </cols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102</v>
      </c>
      <c r="I1" s="1" t="s">
        <v>104</v>
      </c>
      <c r="J1" s="1" t="s">
        <v>107</v>
      </c>
    </row>
    <row r="2" spans="1:10" ht="15.75" customHeight="1" x14ac:dyDescent="0.3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>
        <f>IF(D2&gt;=500,"High Price","Standard Price")</f>
        <v>High Price</v>
      </c>
      <c r="H2" s="3" t="str">
        <f>LEFT(A2,2)</f>
        <v>28</v>
      </c>
      <c r="I2" s="3" t="str">
        <f>RIGHT(A2,2)</f>
        <v>US</v>
      </c>
      <c r="J2" s="3" t="str">
        <f>MID(A2,4,3)</f>
        <v>JAN</v>
      </c>
    </row>
    <row r="3" spans="1:10" ht="15.75" customHeight="1" x14ac:dyDescent="0.3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4" t="str">
        <f>IF(D3&gt;=500,"High Price","Standard Price")</f>
        <v>Standard Price</v>
      </c>
      <c r="H3" s="4" t="str">
        <f>LEFT(A3,2)</f>
        <v>15</v>
      </c>
      <c r="I3" s="4" t="str">
        <f>RIGHT(A2,2)</f>
        <v>US</v>
      </c>
      <c r="J3" s="4" t="str">
        <f>MID(A3,4,3)</f>
        <v>FEB</v>
      </c>
    </row>
    <row r="4" spans="1:10" ht="15.75" customHeight="1" x14ac:dyDescent="0.3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f t="shared" ref="G4:G35" si="0">IF(D4&gt;=500,"High Price","Standard Price")</f>
        <v>Standard Price</v>
      </c>
      <c r="H4" s="3" t="str">
        <f t="shared" ref="H4:H35" si="1">LEFT(A4,2)</f>
        <v>03</v>
      </c>
      <c r="I4" s="3" t="str">
        <f t="shared" ref="I4:I35" si="2">RIGHT(A4,2)</f>
        <v>US</v>
      </c>
      <c r="J4" s="3" t="str">
        <f t="shared" ref="J4:J35" si="3">MID(A4,4,3)</f>
        <v>MAR</v>
      </c>
    </row>
    <row r="5" spans="1:10" ht="15.75" customHeight="1" x14ac:dyDescent="0.3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4" t="str">
        <f t="shared" si="0"/>
        <v>High Price</v>
      </c>
      <c r="H5" s="4" t="str">
        <f t="shared" si="1"/>
        <v>11</v>
      </c>
      <c r="I5" s="4" t="str">
        <f t="shared" ref="I5:I35" si="4">RIGHT(A4,2)</f>
        <v>US</v>
      </c>
      <c r="J5" s="4" t="str">
        <f t="shared" si="3"/>
        <v>APR</v>
      </c>
    </row>
    <row r="6" spans="1:10" ht="15.75" customHeight="1" x14ac:dyDescent="0.3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f t="shared" si="0"/>
        <v>Standard Price</v>
      </c>
      <c r="H6" s="3" t="str">
        <f t="shared" si="1"/>
        <v>22</v>
      </c>
      <c r="I6" s="3" t="str">
        <f t="shared" ref="I6:I35" si="5">RIGHT(A6,2)</f>
        <v>US</v>
      </c>
      <c r="J6" s="3" t="str">
        <f t="shared" si="3"/>
        <v>MAY</v>
      </c>
    </row>
    <row r="7" spans="1:10" ht="15.75" customHeight="1" x14ac:dyDescent="0.3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 t="str">
        <f t="shared" si="0"/>
        <v>Standard Price</v>
      </c>
      <c r="H7" s="4" t="str">
        <f t="shared" si="1"/>
        <v>07</v>
      </c>
      <c r="I7" s="4" t="str">
        <f t="shared" ref="I7:I35" si="6">RIGHT(A6,2)</f>
        <v>US</v>
      </c>
      <c r="J7" s="4" t="str">
        <f t="shared" si="3"/>
        <v>JUN</v>
      </c>
    </row>
    <row r="8" spans="1:10" ht="15.75" customHeight="1" x14ac:dyDescent="0.3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f t="shared" si="0"/>
        <v>Standard Price</v>
      </c>
      <c r="H8" s="3" t="str">
        <f t="shared" si="1"/>
        <v>19</v>
      </c>
      <c r="I8" s="3" t="str">
        <f t="shared" ref="I8:I35" si="7">RIGHT(A8,2)</f>
        <v>UK</v>
      </c>
      <c r="J8" s="3" t="str">
        <f t="shared" si="3"/>
        <v>JUL</v>
      </c>
    </row>
    <row r="9" spans="1:10" ht="15.75" customHeight="1" x14ac:dyDescent="0.3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4" t="str">
        <f t="shared" si="0"/>
        <v>Standard Price</v>
      </c>
      <c r="H9" s="4" t="str">
        <f t="shared" si="1"/>
        <v>23</v>
      </c>
      <c r="I9" s="4" t="str">
        <f t="shared" ref="I9:I35" si="8">RIGHT(A8,2)</f>
        <v>UK</v>
      </c>
      <c r="J9" s="4" t="str">
        <f t="shared" si="3"/>
        <v>AUG</v>
      </c>
    </row>
    <row r="10" spans="1:10" ht="15.75" customHeight="1" x14ac:dyDescent="0.3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f t="shared" si="0"/>
        <v>High Price</v>
      </c>
      <c r="H10" s="3" t="str">
        <f t="shared" si="1"/>
        <v>05</v>
      </c>
      <c r="I10" s="3" t="str">
        <f t="shared" ref="I10:I35" si="9">RIGHT(A10,2)</f>
        <v>UK</v>
      </c>
      <c r="J10" s="3" t="str">
        <f t="shared" si="3"/>
        <v>SEP</v>
      </c>
    </row>
    <row r="11" spans="1:10" ht="15.75" customHeight="1" x14ac:dyDescent="0.3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4" t="str">
        <f t="shared" si="0"/>
        <v>Standard Price</v>
      </c>
      <c r="H11" s="4" t="str">
        <f t="shared" si="1"/>
        <v>14</v>
      </c>
      <c r="I11" s="4" t="str">
        <f t="shared" ref="I11:I35" si="10">RIGHT(A10,2)</f>
        <v>UK</v>
      </c>
      <c r="J11" s="4" t="str">
        <f t="shared" si="3"/>
        <v>OCT</v>
      </c>
    </row>
    <row r="12" spans="1:10" ht="15.75" customHeight="1" x14ac:dyDescent="0.3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f t="shared" si="0"/>
        <v>High Price</v>
      </c>
      <c r="H12" s="3" t="str">
        <f t="shared" si="1"/>
        <v>17</v>
      </c>
      <c r="I12" s="3" t="str">
        <f t="shared" ref="I12:I35" si="11">RIGHT(A12,2)</f>
        <v>IN</v>
      </c>
      <c r="J12" s="3" t="str">
        <f t="shared" si="3"/>
        <v>JUN</v>
      </c>
    </row>
    <row r="13" spans="1:10" ht="15.75" customHeight="1" x14ac:dyDescent="0.3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4" t="str">
        <f t="shared" si="0"/>
        <v>Standard Price</v>
      </c>
      <c r="H13" s="4" t="str">
        <f t="shared" si="1"/>
        <v>25</v>
      </c>
      <c r="I13" s="4" t="str">
        <f t="shared" ref="I13:I35" si="12">RIGHT(A12,2)</f>
        <v>IN</v>
      </c>
      <c r="J13" s="4" t="str">
        <f t="shared" si="3"/>
        <v>NOV</v>
      </c>
    </row>
    <row r="14" spans="1:10" ht="15.75" customHeight="1" x14ac:dyDescent="0.3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f t="shared" si="0"/>
        <v>Standard Price</v>
      </c>
      <c r="H14" s="3" t="str">
        <f t="shared" si="1"/>
        <v>08</v>
      </c>
      <c r="I14" s="3" t="str">
        <f t="shared" ref="I14:I35" si="13">RIGHT(A14,2)</f>
        <v>DE</v>
      </c>
      <c r="J14" s="3" t="str">
        <f t="shared" si="3"/>
        <v>DEC</v>
      </c>
    </row>
    <row r="15" spans="1:10" ht="15.75" customHeight="1" x14ac:dyDescent="0.3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4" t="str">
        <f t="shared" si="0"/>
        <v>Standard Price</v>
      </c>
      <c r="H15" s="4" t="str">
        <f t="shared" si="1"/>
        <v>18</v>
      </c>
      <c r="I15" s="4" t="str">
        <f t="shared" ref="I15:I35" si="14">RIGHT(A14,2)</f>
        <v>DE</v>
      </c>
      <c r="J15" s="4" t="str">
        <f t="shared" si="3"/>
        <v>FEB</v>
      </c>
    </row>
    <row r="16" spans="1:10" ht="15.75" customHeight="1" x14ac:dyDescent="0.3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f t="shared" si="0"/>
        <v>Standard Price</v>
      </c>
      <c r="H16" s="3" t="str">
        <f t="shared" si="1"/>
        <v>16</v>
      </c>
      <c r="I16" s="3" t="str">
        <f t="shared" ref="I16:I35" si="15">RIGHT(A16,2)</f>
        <v>ES</v>
      </c>
      <c r="J16" s="3" t="str">
        <f t="shared" si="3"/>
        <v>APR</v>
      </c>
    </row>
    <row r="17" spans="1:10" ht="15.75" customHeight="1" x14ac:dyDescent="0.3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4" t="str">
        <f t="shared" si="0"/>
        <v>Standard Price</v>
      </c>
      <c r="H17" s="4" t="str">
        <f t="shared" si="1"/>
        <v>21</v>
      </c>
      <c r="I17" s="4" t="str">
        <f t="shared" ref="I17:I35" si="16">RIGHT(A16,2)</f>
        <v>ES</v>
      </c>
      <c r="J17" s="4" t="str">
        <f t="shared" si="3"/>
        <v>AUG</v>
      </c>
    </row>
    <row r="18" spans="1:10" ht="15.75" customHeight="1" x14ac:dyDescent="0.3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f t="shared" si="0"/>
        <v>Standard Price</v>
      </c>
      <c r="H18" s="3" t="str">
        <f t="shared" si="1"/>
        <v>20</v>
      </c>
      <c r="I18" s="3" t="str">
        <f t="shared" ref="I18:I35" si="17">RIGHT(A18,2)</f>
        <v>CN</v>
      </c>
      <c r="J18" s="3" t="str">
        <f t="shared" si="3"/>
        <v>AUG</v>
      </c>
    </row>
    <row r="19" spans="1:10" ht="15.75" customHeight="1" x14ac:dyDescent="0.3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4" t="str">
        <f t="shared" si="0"/>
        <v>High Price</v>
      </c>
      <c r="H19" s="4" t="str">
        <f t="shared" si="1"/>
        <v>27</v>
      </c>
      <c r="I19" s="4" t="str">
        <f t="shared" ref="I19:I35" si="18">RIGHT(A18,2)</f>
        <v>CN</v>
      </c>
      <c r="J19" s="4" t="str">
        <f t="shared" si="3"/>
        <v>JAN</v>
      </c>
    </row>
    <row r="20" spans="1:10" ht="15.75" customHeight="1" x14ac:dyDescent="0.3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f t="shared" si="0"/>
        <v>Standard Price</v>
      </c>
      <c r="H20" s="3" t="str">
        <f t="shared" si="1"/>
        <v>01</v>
      </c>
      <c r="I20" s="3" t="str">
        <f t="shared" ref="I20:I35" si="19">RIGHT(A20,2)</f>
        <v>UK</v>
      </c>
      <c r="J20" s="3" t="str">
        <f t="shared" si="3"/>
        <v>MAR</v>
      </c>
    </row>
    <row r="21" spans="1:10" ht="15.75" customHeight="1" x14ac:dyDescent="0.3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4" t="str">
        <f t="shared" si="0"/>
        <v>Standard Price</v>
      </c>
      <c r="H21" s="4" t="str">
        <f t="shared" si="1"/>
        <v>14</v>
      </c>
      <c r="I21" s="4" t="str">
        <f t="shared" ref="I21:I35" si="20">RIGHT(A20,2)</f>
        <v>UK</v>
      </c>
      <c r="J21" s="4" t="str">
        <f t="shared" si="3"/>
        <v>AUG</v>
      </c>
    </row>
    <row r="22" spans="1:10" ht="15.75" customHeight="1" x14ac:dyDescent="0.3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f t="shared" si="0"/>
        <v>High Price</v>
      </c>
      <c r="H22" s="3" t="str">
        <f t="shared" si="1"/>
        <v>14</v>
      </c>
      <c r="I22" s="3" t="str">
        <f t="shared" ref="I22:I35" si="21">RIGHT(A22,2)</f>
        <v>RU</v>
      </c>
      <c r="J22" s="3" t="str">
        <f t="shared" si="3"/>
        <v>MAY</v>
      </c>
    </row>
    <row r="23" spans="1:10" ht="15.75" customHeight="1" x14ac:dyDescent="0.3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4" t="str">
        <f t="shared" si="0"/>
        <v>Standard Price</v>
      </c>
      <c r="H23" s="4" t="str">
        <f t="shared" si="1"/>
        <v>09</v>
      </c>
      <c r="I23" s="4" t="str">
        <f t="shared" ref="I23:I35" si="22">RIGHT(A22,2)</f>
        <v>RU</v>
      </c>
      <c r="J23" s="4" t="str">
        <f t="shared" si="3"/>
        <v>JAN</v>
      </c>
    </row>
    <row r="24" spans="1:10" ht="15.75" customHeight="1" x14ac:dyDescent="0.3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f t="shared" si="0"/>
        <v>Standard Price</v>
      </c>
      <c r="H24" s="3" t="str">
        <f t="shared" si="1"/>
        <v>19</v>
      </c>
      <c r="I24" s="3" t="str">
        <f t="shared" ref="I24:I35" si="23">RIGHT(A24,2)</f>
        <v>BR</v>
      </c>
      <c r="J24" s="3" t="str">
        <f t="shared" si="3"/>
        <v>JUL</v>
      </c>
    </row>
    <row r="25" spans="1:10" ht="15.75" customHeight="1" x14ac:dyDescent="0.3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4" t="str">
        <f t="shared" si="0"/>
        <v>Standard Price</v>
      </c>
      <c r="H25" s="4" t="str">
        <f t="shared" si="1"/>
        <v>21</v>
      </c>
      <c r="I25" s="4" t="str">
        <f t="shared" ref="I25:I35" si="24">RIGHT(A24,2)</f>
        <v>BR</v>
      </c>
      <c r="J25" s="4" t="str">
        <f t="shared" si="3"/>
        <v>AUG</v>
      </c>
    </row>
    <row r="26" spans="1:10" ht="15.75" customHeight="1" x14ac:dyDescent="0.3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f t="shared" si="0"/>
        <v>High Price</v>
      </c>
      <c r="H26" s="3" t="str">
        <f t="shared" si="1"/>
        <v>29</v>
      </c>
      <c r="I26" s="3" t="str">
        <f t="shared" ref="I26:I35" si="25">RIGHT(A26,2)</f>
        <v>CA</v>
      </c>
      <c r="J26" s="3" t="str">
        <f t="shared" si="3"/>
        <v>SEP</v>
      </c>
    </row>
    <row r="27" spans="1:10" ht="15.75" customHeight="1" x14ac:dyDescent="0.3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4" t="str">
        <f t="shared" si="0"/>
        <v>Standard Price</v>
      </c>
      <c r="H27" s="4" t="str">
        <f t="shared" si="1"/>
        <v>03</v>
      </c>
      <c r="I27" s="4" t="str">
        <f t="shared" ref="I27:I35" si="26">RIGHT(A26,2)</f>
        <v>CA</v>
      </c>
      <c r="J27" s="4" t="str">
        <f t="shared" si="3"/>
        <v>JUN</v>
      </c>
    </row>
    <row r="28" spans="1:10" ht="15.75" customHeight="1" x14ac:dyDescent="0.3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f t="shared" si="0"/>
        <v>Standard Price</v>
      </c>
      <c r="H28" s="3" t="str">
        <f t="shared" si="1"/>
        <v>11</v>
      </c>
      <c r="I28" s="3" t="str">
        <f t="shared" ref="I28:I35" si="27">RIGHT(A28,2)</f>
        <v>CA</v>
      </c>
      <c r="J28" s="3" t="str">
        <f t="shared" si="3"/>
        <v>JUL</v>
      </c>
    </row>
    <row r="29" spans="1:10" ht="15.75" customHeight="1" x14ac:dyDescent="0.3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4" t="str">
        <f t="shared" si="0"/>
        <v>Standard Price</v>
      </c>
      <c r="H29" s="4" t="str">
        <f t="shared" si="1"/>
        <v>16</v>
      </c>
      <c r="I29" s="4" t="str">
        <f t="shared" ref="I29:I35" si="28">RIGHT(A28,2)</f>
        <v>CA</v>
      </c>
      <c r="J29" s="4" t="str">
        <f t="shared" si="3"/>
        <v>APR</v>
      </c>
    </row>
    <row r="30" spans="1:10" ht="15.75" customHeight="1" x14ac:dyDescent="0.3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f t="shared" si="0"/>
        <v>Standard Price</v>
      </c>
      <c r="H30" s="3" t="str">
        <f t="shared" si="1"/>
        <v>07</v>
      </c>
      <c r="I30" s="3" t="str">
        <f t="shared" ref="I30:I35" si="29">RIGHT(A30,2)</f>
        <v>CA</v>
      </c>
      <c r="J30" s="3" t="str">
        <f t="shared" si="3"/>
        <v>MAR</v>
      </c>
    </row>
    <row r="31" spans="1:10" ht="15.75" customHeight="1" x14ac:dyDescent="0.3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4" t="str">
        <f t="shared" si="0"/>
        <v>Standard Price</v>
      </c>
      <c r="H31" s="4" t="str">
        <f t="shared" si="1"/>
        <v>13</v>
      </c>
      <c r="I31" s="4" t="str">
        <f t="shared" ref="I31:I35" si="30">RIGHT(A30,2)</f>
        <v>CA</v>
      </c>
      <c r="J31" s="4" t="str">
        <f t="shared" si="3"/>
        <v>APR</v>
      </c>
    </row>
    <row r="32" spans="1:10" ht="15.75" customHeight="1" x14ac:dyDescent="0.3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f t="shared" si="0"/>
        <v>Standard Price</v>
      </c>
      <c r="H32" s="3" t="str">
        <f t="shared" si="1"/>
        <v>24</v>
      </c>
      <c r="I32" s="3" t="str">
        <f t="shared" ref="I32:I35" si="31">RIGHT(A32,2)</f>
        <v>CA</v>
      </c>
      <c r="J32" s="3" t="str">
        <f t="shared" si="3"/>
        <v>MAY</v>
      </c>
    </row>
    <row r="33" spans="1:10" ht="15.75" customHeight="1" x14ac:dyDescent="0.3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4" t="str">
        <f t="shared" si="0"/>
        <v>Standard Price</v>
      </c>
      <c r="H33" s="4" t="str">
        <f t="shared" si="1"/>
        <v>02</v>
      </c>
      <c r="I33" s="4" t="str">
        <f t="shared" ref="I33:I35" si="32">RIGHT(A32,2)</f>
        <v>CA</v>
      </c>
      <c r="J33" s="4" t="str">
        <f t="shared" si="3"/>
        <v>DEC</v>
      </c>
    </row>
    <row r="34" spans="1:10" ht="15.75" customHeight="1" x14ac:dyDescent="0.3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f t="shared" si="0"/>
        <v>High Price</v>
      </c>
      <c r="H34" s="3" t="str">
        <f t="shared" si="1"/>
        <v>17</v>
      </c>
      <c r="I34" s="3" t="str">
        <f t="shared" ref="I34:I35" si="33">RIGHT(A34,2)</f>
        <v>IN</v>
      </c>
      <c r="J34" s="3" t="str">
        <f t="shared" si="3"/>
        <v>JUN</v>
      </c>
    </row>
    <row r="35" spans="1:10" ht="15.75" customHeight="1" x14ac:dyDescent="0.3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4" t="str">
        <f t="shared" si="0"/>
        <v>Standard Price</v>
      </c>
      <c r="H35" s="4" t="str">
        <f t="shared" si="1"/>
        <v>09</v>
      </c>
      <c r="I35" s="4" t="str">
        <f t="shared" ref="I35" si="34">RIGHT(A34,2)</f>
        <v>IN</v>
      </c>
      <c r="J35" s="4" t="str">
        <f t="shared" si="3"/>
        <v>JUL</v>
      </c>
    </row>
    <row r="36" spans="1:10" ht="15.75" customHeight="1" x14ac:dyDescent="0.35"/>
    <row r="37" spans="1:10" ht="15.75" customHeight="1" x14ac:dyDescent="0.35"/>
    <row r="38" spans="1:10" ht="15.75" customHeight="1" x14ac:dyDescent="0.35">
      <c r="A38" s="7" t="s">
        <v>112</v>
      </c>
    </row>
    <row r="39" spans="1:10" ht="15.75" customHeight="1" x14ac:dyDescent="0.35"/>
    <row r="40" spans="1:10" ht="15.75" customHeight="1" x14ac:dyDescent="0.35">
      <c r="A40" s="2" t="s">
        <v>93</v>
      </c>
      <c r="F40" s="2">
        <f>SUM(D2:D35)</f>
        <v>10100</v>
      </c>
    </row>
    <row r="41" spans="1:10" ht="15.75" customHeight="1" x14ac:dyDescent="0.35"/>
    <row r="42" spans="1:10" ht="15.75" customHeight="1" x14ac:dyDescent="0.35">
      <c r="A42" s="5" t="s">
        <v>94</v>
      </c>
      <c r="F42" s="2">
        <f>COUNTA(B2:B35)</f>
        <v>34</v>
      </c>
    </row>
    <row r="43" spans="1:10" ht="15.75" customHeight="1" x14ac:dyDescent="0.35"/>
    <row r="44" spans="1:10" ht="15.75" customHeight="1" x14ac:dyDescent="0.35">
      <c r="A44" s="5" t="s">
        <v>95</v>
      </c>
      <c r="F44" s="8">
        <f>AVERAGE(D2:D35)</f>
        <v>297.05882352941177</v>
      </c>
      <c r="G44" s="6"/>
      <c r="H44" s="6"/>
      <c r="I44" s="6"/>
      <c r="J44" s="6"/>
    </row>
    <row r="45" spans="1:10" ht="15.75" customHeight="1" x14ac:dyDescent="0.35">
      <c r="A45" s="5"/>
      <c r="F45" s="6"/>
      <c r="G45" s="6"/>
      <c r="H45" s="6"/>
      <c r="I45" s="6"/>
      <c r="J45" s="6"/>
    </row>
    <row r="46" spans="1:10" ht="15.75" customHeight="1" x14ac:dyDescent="0.35">
      <c r="A46" s="7" t="s">
        <v>111</v>
      </c>
      <c r="F46" s="6"/>
      <c r="G46" s="6"/>
      <c r="H46" s="6"/>
      <c r="I46" s="6"/>
      <c r="J46" s="6"/>
    </row>
    <row r="47" spans="1:10" ht="15.75" customHeight="1" x14ac:dyDescent="0.35"/>
    <row r="48" spans="1:10" ht="15.75" customHeight="1" x14ac:dyDescent="0.35">
      <c r="A48" s="5" t="s">
        <v>96</v>
      </c>
      <c r="F48" s="2">
        <f>MIN(D2:D35)</f>
        <v>30</v>
      </c>
    </row>
    <row r="49" spans="1:8" ht="15.75" customHeight="1" x14ac:dyDescent="0.35"/>
    <row r="50" spans="1:8" ht="15.75" customHeight="1" x14ac:dyDescent="0.35">
      <c r="A50" s="5" t="s">
        <v>97</v>
      </c>
      <c r="F50" s="2">
        <f>MAX(D2:D35)</f>
        <v>1000</v>
      </c>
    </row>
    <row r="51" spans="1:8" ht="15.75" customHeight="1" x14ac:dyDescent="0.35">
      <c r="A51" s="5"/>
    </row>
    <row r="52" spans="1:8" ht="15.75" customHeight="1" x14ac:dyDescent="0.35">
      <c r="A52" s="7" t="s">
        <v>110</v>
      </c>
    </row>
    <row r="53" spans="1:8" ht="15.75" customHeight="1" x14ac:dyDescent="0.35"/>
    <row r="54" spans="1:8" ht="15.75" customHeight="1" x14ac:dyDescent="0.35">
      <c r="A54" s="5" t="s">
        <v>98</v>
      </c>
    </row>
    <row r="55" spans="1:8" ht="15.75" customHeight="1" x14ac:dyDescent="0.35">
      <c r="A55" s="5"/>
    </row>
    <row r="56" spans="1:8" ht="15.75" customHeight="1" x14ac:dyDescent="0.35">
      <c r="A56" s="7" t="s">
        <v>109</v>
      </c>
    </row>
    <row r="57" spans="1:8" ht="15.75" customHeight="1" x14ac:dyDescent="0.35"/>
    <row r="58" spans="1:8" ht="15.75" customHeight="1" x14ac:dyDescent="0.35">
      <c r="A58" s="5" t="s">
        <v>99</v>
      </c>
      <c r="H58" s="2">
        <f>SUMIF(F2:F35,"Electronics",D2:D35)</f>
        <v>8050</v>
      </c>
    </row>
    <row r="59" spans="1:8" ht="15.75" customHeight="1" x14ac:dyDescent="0.35"/>
    <row r="60" spans="1:8" ht="15.75" customHeight="1" x14ac:dyDescent="0.35">
      <c r="A60" s="5" t="s">
        <v>100</v>
      </c>
      <c r="H60" s="2">
        <f>COUNTIF(D2:D35,"&lt;100")</f>
        <v>11</v>
      </c>
    </row>
    <row r="61" spans="1:8" ht="15.75" customHeight="1" x14ac:dyDescent="0.35">
      <c r="A61" s="5"/>
    </row>
    <row r="62" spans="1:8" ht="15.75" customHeight="1" x14ac:dyDescent="0.35">
      <c r="A62" s="7" t="s">
        <v>108</v>
      </c>
    </row>
    <row r="63" spans="1:8" ht="15.75" customHeight="1" x14ac:dyDescent="0.35"/>
    <row r="64" spans="1:8" ht="15.75" customHeight="1" x14ac:dyDescent="0.35">
      <c r="A64" s="5" t="s">
        <v>101</v>
      </c>
    </row>
    <row r="65" spans="1:1" ht="15.75" customHeight="1" x14ac:dyDescent="0.35"/>
    <row r="66" spans="1:1" ht="15.75" customHeight="1" x14ac:dyDescent="0.35">
      <c r="A66" s="5" t="s">
        <v>103</v>
      </c>
    </row>
    <row r="67" spans="1:1" ht="15.75" customHeight="1" x14ac:dyDescent="0.35"/>
    <row r="68" spans="1:1" ht="15.75" customHeight="1" x14ac:dyDescent="0.35">
      <c r="A68" s="5" t="s">
        <v>106</v>
      </c>
    </row>
    <row r="69" spans="1:1" ht="15.75" customHeight="1" x14ac:dyDescent="0.35"/>
    <row r="70" spans="1:1" ht="15.75" customHeight="1" x14ac:dyDescent="0.35"/>
    <row r="71" spans="1:1" ht="15.75" customHeight="1" x14ac:dyDescent="0.35"/>
    <row r="72" spans="1:1" ht="15.75" customHeight="1" x14ac:dyDescent="0.35"/>
    <row r="73" spans="1:1" ht="15.75" customHeight="1" x14ac:dyDescent="0.35"/>
    <row r="74" spans="1:1" ht="15.75" customHeight="1" x14ac:dyDescent="0.35"/>
    <row r="75" spans="1:1" ht="15.75" customHeight="1" x14ac:dyDescent="0.35"/>
    <row r="76" spans="1:1" ht="15.75" customHeight="1" x14ac:dyDescent="0.35"/>
    <row r="77" spans="1:1" ht="15.75" customHeight="1" x14ac:dyDescent="0.35"/>
    <row r="78" spans="1:1" ht="15.75" customHeight="1" x14ac:dyDescent="0.35"/>
    <row r="79" spans="1:1" ht="15.75" customHeight="1" x14ac:dyDescent="0.35"/>
    <row r="80" spans="1:1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</sheetData>
  <pageMargins left="0.7" right="0.7" top="0.75" bottom="0.75" header="0.3" footer="0.3"/>
  <ignoredErrors>
    <ignoredError sqref="I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Vanitha S</dc:creator>
  <cp:lastModifiedBy>Vanitha S</cp:lastModifiedBy>
  <dcterms:created xsi:type="dcterms:W3CDTF">2025-07-02T06:07:01Z</dcterms:created>
  <dcterms:modified xsi:type="dcterms:W3CDTF">2025-07-02T07:49:29Z</dcterms:modified>
</cp:coreProperties>
</file>