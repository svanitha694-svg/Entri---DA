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nitha S\Desktop\DA\"/>
    </mc:Choice>
  </mc:AlternateContent>
  <bookViews>
    <workbookView xWindow="0" yWindow="0" windowWidth="19200" windowHeight="6930" activeTab="2"/>
  </bookViews>
  <sheets>
    <sheet name="Instructions" sheetId="2" r:id="rId1"/>
    <sheet name="Sheet1" sheetId="1" r:id="rId2"/>
    <sheet name="PQE" sheetId="4" r:id="rId3"/>
  </sheets>
  <definedNames>
    <definedName name="_xlnm._FilterDatabase" localSheetId="1" hidden="1">Sheet1!$A$1:$F$32</definedName>
    <definedName name="ExternalData_1" localSheetId="2" hidden="1">PQE!$A$1:$F$32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1" i="1"/>
  <c r="A34" i="1"/>
  <c r="B34" i="1"/>
  <c r="C34" i="1"/>
  <c r="D34" i="1"/>
  <c r="E34" i="1"/>
  <c r="H30" i="1"/>
  <c r="F34" i="1" l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<sst xmlns="http://schemas.openxmlformats.org/spreadsheetml/2006/main" count="312" uniqueCount="205">
  <si>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</si>
  <si>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</si>
  <si>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</si>
  <si>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</si>
  <si>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</si>
  <si>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</si>
  <si>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</si>
  <si>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</si>
  <si>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</si>
  <si>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</si>
  <si>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</si>
  <si>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</si>
  <si>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</si>
  <si>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</si>
  <si>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</si>
  <si>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</si>
  <si>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</si>
  <si>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</si>
  <si>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</si>
  <si>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</si>
  <si>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</si>
  <si>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</si>
  <si>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</si>
  <si>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</si>
  <si>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</si>
  <si>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</si>
  <si>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</si>
  <si>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</si>
  <si>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</si>
  <si>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</si>
  <si>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</si>
  <si>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</si>
  <si>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</si>
  <si>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</si>
  <si>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</si>
  <si>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</si>
  <si>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</si>
  <si>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</si>
  <si>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</si>
  <si>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</si>
  <si>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</si>
  <si>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</si>
  <si>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</si>
  <si>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</si>
  <si>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</si>
  <si>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</si>
  <si>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</si>
  <si>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</si>
  <si>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</si>
  <si>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</si>
  <si>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</si>
  <si>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</si>
  <si>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</si>
  <si>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</si>
  <si>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</si>
  <si>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</si>
  <si>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</si>
  <si>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</si>
  <si>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</si>
  <si>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</si>
  <si>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</si>
  <si>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</si>
  <si>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</si>
  <si>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</si>
  <si>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</si>
  <si>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</si>
  <si>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</si>
  <si>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</si>
  <si>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</si>
  <si>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</si>
  <si>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</si>
  <si>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</si>
  <si>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</si>
  <si>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</si>
  <si>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</si>
  <si>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</si>
  <si>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</si>
  <si>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</si>
  <si>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</si>
  <si>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</si>
  <si>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</si>
  <si>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</si>
  <si>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</si>
  <si>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</si>
  <si>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</si>
  <si>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</si>
  <si>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</si>
  <si>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</si>
  <si>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</si>
  <si>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</si>
  <si>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</si>
  <si>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</si>
  <si>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</si>
  <si>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</si>
  <si>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</si>
  <si>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</si>
  <si>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</si>
  <si>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</si>
  <si>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</si>
  <si>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</si>
  <si>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</si>
  <si>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</si>
  <si>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</si>
  <si>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</si>
  <si>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</si>
  <si>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</si>
  <si>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</si>
  <si>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</si>
  <si>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</si>
  <si>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</si>
  <si>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</si>
  <si>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</si>
  <si>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Mean</t>
  </si>
  <si>
    <t>Overall Mean</t>
  </si>
  <si>
    <t>Mean of Headphones</t>
  </si>
  <si>
    <t>Mean of Sunglasses</t>
  </si>
  <si>
    <t>Count Blank</t>
  </si>
  <si>
    <t>Manufacturing Date</t>
  </si>
  <si>
    <t>Country Code</t>
  </si>
  <si>
    <t>Product Brand</t>
  </si>
  <si>
    <t>22-MAY</t>
  </si>
  <si>
    <t>US</t>
  </si>
  <si>
    <t>Backpack North Face</t>
  </si>
  <si>
    <t>23-AUG</t>
  </si>
  <si>
    <t>UK</t>
  </si>
  <si>
    <t>Blender Ninja</t>
  </si>
  <si>
    <t>11-JUL</t>
  </si>
  <si>
    <t>CA</t>
  </si>
  <si>
    <t>Blender Vitamix</t>
  </si>
  <si>
    <t>14-MAY</t>
  </si>
  <si>
    <t>RU</t>
  </si>
  <si>
    <t>Camera Nikon</t>
  </si>
  <si>
    <t>14-AUG</t>
  </si>
  <si>
    <t>Camping Tent Coleman</t>
  </si>
  <si>
    <t>03-MAR</t>
  </si>
  <si>
    <t>Coffee Maker Keurig</t>
  </si>
  <si>
    <t>08-DEC</t>
  </si>
  <si>
    <t>DE</t>
  </si>
  <si>
    <t>Coffee Maker Nespresso</t>
  </si>
  <si>
    <t>07-MAR</t>
  </si>
  <si>
    <t>Dress Zara</t>
  </si>
  <si>
    <t>19-JUL</t>
  </si>
  <si>
    <t>BR</t>
  </si>
  <si>
    <t>Fitness Tracker Xiaomi</t>
  </si>
  <si>
    <t>24-MAY</t>
  </si>
  <si>
    <t>Fitness Tracker Garmin</t>
  </si>
  <si>
    <t>07-JUN</t>
  </si>
  <si>
    <t>Headphones Sony</t>
  </si>
  <si>
    <t>16-APR</t>
  </si>
  <si>
    <t>ES</t>
  </si>
  <si>
    <t>Headphones Bose</t>
  </si>
  <si>
    <t>14-OCT</t>
  </si>
  <si>
    <t>Hiking Boots Timberland</t>
  </si>
  <si>
    <t>02-DEC</t>
  </si>
  <si>
    <t>Jeans Levi'S</t>
  </si>
  <si>
    <t>28-JAN</t>
  </si>
  <si>
    <t>Laptop Dell</t>
  </si>
  <si>
    <t>17-JUN</t>
  </si>
  <si>
    <t>IN</t>
  </si>
  <si>
    <t>Laptop Hp</t>
  </si>
  <si>
    <t>27-JAN</t>
  </si>
  <si>
    <t>IT</t>
  </si>
  <si>
    <t>Laptop Asus</t>
  </si>
  <si>
    <t>21-AUG</t>
  </si>
  <si>
    <t>Laptop Bag Samsonite</t>
  </si>
  <si>
    <t>09-JAN</t>
  </si>
  <si>
    <t>Microwave Panasonic</t>
  </si>
  <si>
    <t>11-APR</t>
  </si>
  <si>
    <t>Smartphone Samsung</t>
  </si>
  <si>
    <t>29-SEP</t>
  </si>
  <si>
    <t>Smartphone Google</t>
  </si>
  <si>
    <t>18-FEB</t>
  </si>
  <si>
    <t>Smartwatch Fitbit</t>
  </si>
  <si>
    <t>20-AUG</t>
  </si>
  <si>
    <t>CN</t>
  </si>
  <si>
    <t>Smartwatch Huawei</t>
  </si>
  <si>
    <t>15-FEB</t>
  </si>
  <si>
    <t>Sneakers Nike</t>
  </si>
  <si>
    <t>25-NOV</t>
  </si>
  <si>
    <t>AU</t>
  </si>
  <si>
    <t>Sneakers Adidas</t>
  </si>
  <si>
    <t>01-MAR</t>
  </si>
  <si>
    <t>Sunglasses Oakley</t>
  </si>
  <si>
    <t>03-JUN</t>
  </si>
  <si>
    <t>Sunglasses Ray-Ban</t>
  </si>
  <si>
    <t>05-SEP</t>
  </si>
  <si>
    <t>Tablet Apple</t>
  </si>
  <si>
    <t>13-APR</t>
  </si>
  <si>
    <t>Toaster Hamilton</t>
  </si>
  <si>
    <t>T-Shirt Adidas</t>
  </si>
  <si>
    <t>09-JUL</t>
  </si>
  <si>
    <t>FR</t>
  </si>
  <si>
    <t>Watch Casio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</si>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</sst>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₹&quot;\ #,##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1"/>
      <color theme="1"/>
      <name val="Times New Roman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E0F7FA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2" fillId="3" borderId="0" xfId="0" applyNumberFormat="1" applyFont="1" applyFill="1"/>
    <xf numFmtId="0" fontId="0" fillId="0" borderId="0" xfId="0" applyNumberFormat="1"/>
    <xf numFmtId="0" fontId="0" fillId="0" borderId="0" xfId="0" applyNumberFormat="1" applyFont="1" applyAlignme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  <xf numFmtId="49" fontId="0" fillId="0" borderId="0" xfId="0" applyNumberFormat="1" applyFont="1" applyAlignme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2" fillId="3" borderId="0" xfId="0" applyNumberFormat="1" applyFont="1" applyFill="1"/>
    <xf numFmtId="1" fontId="0" fillId="0" borderId="0" xfId="0" applyNumberFormat="1"/>
    <xf numFmtId="1" fontId="0" fillId="0" borderId="0" xfId="0" applyNumberFormat="1" applyFont="1" applyAlignment="1"/>
    <xf numFmtId="49" fontId="2" fillId="3" borderId="0" xfId="0" applyNumberFormat="1" applyFont="1" applyFill="1" applyAlignment="1"/>
    <xf numFmtId="49" fontId="0" fillId="0" borderId="1" xfId="0" applyNumberFormat="1" applyBorder="1"/>
    <xf numFmtId="0" fontId="8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3" borderId="0" xfId="0" applyNumberFormat="1" applyFont="1" applyFill="1"/>
    <xf numFmtId="49" fontId="9" fillId="0" borderId="0" xfId="0" applyNumberFormat="1" applyFont="1"/>
    <xf numFmtId="167" fontId="0" fillId="0" borderId="0" xfId="0" applyNumberFormat="1"/>
    <xf numFmtId="14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7" xfId="0" applyFill="1" applyBorder="1" applyAlignment="1"/>
    <xf numFmtId="0" fontId="0" fillId="0" borderId="8" xfId="0" applyFill="1" applyBorder="1" applyAlignment="1"/>
    <xf numFmtId="0" fontId="10" fillId="0" borderId="6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1" fontId="2" fillId="4" borderId="0" xfId="0" applyNumberFormat="1" applyFont="1" applyFill="1"/>
    <xf numFmtId="49" fontId="2" fillId="5" borderId="0" xfId="0" applyNumberFormat="1" applyFont="1" applyFill="1"/>
    <xf numFmtId="49" fontId="2" fillId="4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theme="4" tint="0.59996337778862885"/>
        </patternFill>
      </fill>
    </dxf>
    <dxf>
      <fill>
        <patternFill>
          <bgColor theme="9" tint="0.39994506668294322"/>
        </patternFill>
      </fill>
    </dxf>
    <dxf>
      <numFmt numFmtId="19" formatCode="dd/mm/yyyy"/>
    </dxf>
    <dxf>
      <numFmt numFmtId="167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removeDataOnSave="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Manufacturing Date" tableColumnId="7"/>
      <queryTableField id="2" name="Country Code" tableColumnId="8"/>
      <queryTableField id="3" name="Product Brand" tableColumnId="9"/>
      <queryTableField id="4" name="Price ($)" tableColumnId="10"/>
      <queryTableField id="5" name="Quantity" tableColumnId="11"/>
      <queryTableField id="6" name="Category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F32" totalsRowShown="0" headerRowDxfId="4" dataDxfId="5">
  <autoFilter ref="A1:F32"/>
  <tableColumns count="6">
    <tableColumn id="1" name="Product ID" dataDxfId="11"/>
    <tableColumn id="2" name="Product Name" dataDxfId="10"/>
    <tableColumn id="3" name="Brand Name" dataDxfId="9"/>
    <tableColumn id="4" name="Price ($)" dataDxfId="8"/>
    <tableColumn id="5" name="Quantity" dataDxfId="7"/>
    <tableColumn id="6" name="Category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F32" tableType="queryTable" totalsRowShown="0">
  <autoFilter ref="A1:F32"/>
  <sortState ref="A2:F32">
    <sortCondition ref="C1:C32"/>
  </sortState>
  <tableColumns count="6">
    <tableColumn id="7" uniqueName="7" name="Manufacturing Date" queryTableFieldId="1" dataDxfId="2"/>
    <tableColumn id="8" uniqueName="8" name="Country Code" queryTableFieldId="2"/>
    <tableColumn id="9" uniqueName="9" name="Product Brand" queryTableFieldId="3"/>
    <tableColumn id="10" uniqueName="10" name="Price ($)" queryTableFieldId="4" dataDxfId="3"/>
    <tableColumn id="11" uniqueName="11" name="Quantity" queryTableFieldId="5"/>
    <tableColumn id="12" uniqueName="12" name="Categor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opLeftCell="A11" workbookViewId="0">
      <selection activeCell="K22" sqref="K22"/>
    </sheetView>
  </sheetViews>
  <sheetFormatPr defaultColWidth="12.6328125" defaultRowHeight="14.5" x14ac:dyDescent="0.35"/>
  <cols>
    <col min="1" max="1" width="12.6328125" style="1" customWidth="1"/>
    <col min="2" max="2" width="7.453125" style="1" customWidth="1"/>
    <col min="3" max="6" width="12.6328125" style="1" customWidth="1"/>
    <col min="7" max="16384" width="12.6328125" style="1"/>
  </cols>
  <sheetData>
    <row r="1" spans="1:11" ht="15.75" customHeight="1" x14ac:dyDescent="0.35">
      <c r="A1" s="3" t="s">
        <v>93</v>
      </c>
    </row>
    <row r="2" spans="1:11" ht="15.75" customHeight="1" x14ac:dyDescent="0.35"/>
    <row r="3" spans="1:11" ht="15.75" customHeight="1" x14ac:dyDescent="0.35">
      <c r="B3" s="4" t="s">
        <v>94</v>
      </c>
    </row>
    <row r="4" spans="1:11" ht="15.75" customHeight="1" x14ac:dyDescent="0.35">
      <c r="C4" s="5" t="s">
        <v>95</v>
      </c>
    </row>
    <row r="5" spans="1:11" ht="15.75" customHeight="1" x14ac:dyDescent="0.35">
      <c r="B5" s="6"/>
      <c r="C5" s="5" t="s">
        <v>96</v>
      </c>
    </row>
    <row r="6" spans="1:11" ht="15.75" customHeight="1" x14ac:dyDescent="0.35">
      <c r="B6" s="6"/>
    </row>
    <row r="7" spans="1:11" ht="15.75" customHeight="1" x14ac:dyDescent="0.35">
      <c r="B7" s="4" t="s">
        <v>97</v>
      </c>
    </row>
    <row r="8" spans="1:11" ht="15.75" customHeight="1" x14ac:dyDescent="0.35">
      <c r="C8" s="5" t="s">
        <v>98</v>
      </c>
    </row>
    <row r="9" spans="1:11" ht="15.75" customHeight="1" x14ac:dyDescent="0.35">
      <c r="C9" s="5" t="s">
        <v>99</v>
      </c>
    </row>
    <row r="10" spans="1:11" ht="15.75" customHeight="1" x14ac:dyDescent="0.35">
      <c r="C10" s="5" t="s">
        <v>100</v>
      </c>
    </row>
    <row r="11" spans="1:11" ht="15.75" customHeight="1" x14ac:dyDescent="0.35">
      <c r="B11" s="6"/>
    </row>
    <row r="12" spans="1:11" ht="15.75" customHeight="1" x14ac:dyDescent="0.35">
      <c r="B12" s="4" t="s">
        <v>101</v>
      </c>
    </row>
    <row r="13" spans="1:11" ht="15.75" customHeight="1" x14ac:dyDescent="0.35">
      <c r="B13" s="4"/>
      <c r="C13" s="5" t="s">
        <v>102</v>
      </c>
    </row>
    <row r="14" spans="1:11" ht="15.75" customHeight="1" x14ac:dyDescent="0.35"/>
    <row r="15" spans="1:11" ht="15.75" customHeight="1" x14ac:dyDescent="0.35">
      <c r="B15" s="7" t="s">
        <v>103</v>
      </c>
      <c r="C15" s="8"/>
      <c r="D15" s="8"/>
      <c r="E15" s="8"/>
      <c r="F15" s="8"/>
      <c r="G15" s="8"/>
      <c r="H15" s="8"/>
      <c r="I15" s="8"/>
      <c r="J15" s="8"/>
      <c r="K15" s="8"/>
    </row>
    <row r="16" spans="1:11" ht="15.75" customHeight="1" x14ac:dyDescent="0.35">
      <c r="B16" s="8"/>
      <c r="C16" s="9" t="s">
        <v>104</v>
      </c>
      <c r="D16" s="8"/>
      <c r="E16" s="8"/>
      <c r="F16" s="8"/>
      <c r="G16" s="8"/>
      <c r="H16" s="8"/>
      <c r="I16" s="8"/>
      <c r="J16" s="8"/>
      <c r="K16" s="8"/>
    </row>
    <row r="17" spans="2:11" ht="15.75" customHeight="1" x14ac:dyDescent="0.35">
      <c r="B17" s="8"/>
      <c r="C17" s="9" t="s">
        <v>105</v>
      </c>
      <c r="D17" s="8"/>
      <c r="E17" s="8"/>
      <c r="F17" s="8"/>
      <c r="G17" s="8"/>
      <c r="H17" s="8"/>
      <c r="I17" s="8"/>
      <c r="J17" s="8"/>
      <c r="K17" s="8"/>
    </row>
    <row r="18" spans="2:11" ht="15.75" customHeigh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2:11" ht="15.75" customHeight="1" x14ac:dyDescent="0.35">
      <c r="B19" s="7" t="s">
        <v>106</v>
      </c>
      <c r="C19" s="8"/>
      <c r="D19" s="8"/>
      <c r="E19" s="8"/>
      <c r="F19" s="8"/>
      <c r="G19" s="8"/>
      <c r="H19" s="8"/>
      <c r="I19" s="8"/>
      <c r="J19" s="8"/>
      <c r="K19" s="8"/>
    </row>
    <row r="20" spans="2:11" ht="15.75" customHeight="1" x14ac:dyDescent="0.35">
      <c r="B20" s="8"/>
      <c r="C20" s="9" t="s">
        <v>107</v>
      </c>
      <c r="D20" s="8"/>
      <c r="E20" s="8"/>
      <c r="F20" s="8"/>
      <c r="G20" s="8"/>
      <c r="H20" s="8"/>
      <c r="I20" s="8"/>
      <c r="J20" s="8"/>
      <c r="K20" s="8"/>
    </row>
    <row r="21" spans="2:11" ht="15.75" customHeight="1" x14ac:dyDescent="0.35">
      <c r="B21" s="8"/>
      <c r="C21" s="9" t="s">
        <v>108</v>
      </c>
      <c r="D21" s="8"/>
      <c r="E21" s="8"/>
      <c r="F21" s="8"/>
      <c r="G21" s="8"/>
      <c r="H21" s="8"/>
      <c r="I21" s="8"/>
      <c r="J21" s="8"/>
      <c r="K21" s="8"/>
    </row>
    <row r="22" spans="2:11" ht="15.75" customHeight="1" x14ac:dyDescent="0.35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2:11" ht="15.75" customHeight="1" x14ac:dyDescent="0.35">
      <c r="B23" s="7" t="s">
        <v>109</v>
      </c>
      <c r="C23" s="8"/>
      <c r="D23" s="8"/>
      <c r="E23" s="8"/>
      <c r="F23" s="8"/>
      <c r="G23" s="8"/>
      <c r="H23" s="8"/>
      <c r="I23" s="8"/>
      <c r="J23" s="8"/>
      <c r="K23" s="8"/>
    </row>
    <row r="24" spans="2:11" ht="15.75" customHeight="1" x14ac:dyDescent="0.35">
      <c r="B24" s="8"/>
      <c r="C24" s="9" t="s">
        <v>110</v>
      </c>
      <c r="D24" s="8"/>
      <c r="E24" s="8"/>
      <c r="F24" s="8"/>
      <c r="G24" s="8"/>
      <c r="H24" s="8"/>
      <c r="I24" s="8"/>
      <c r="J24" s="8"/>
      <c r="K24" s="8"/>
    </row>
    <row r="25" spans="2:11" ht="15.75" customHeight="1" x14ac:dyDescent="0.35">
      <c r="B25" s="8"/>
      <c r="C25" s="9" t="s">
        <v>111</v>
      </c>
      <c r="D25" s="8"/>
      <c r="E25" s="8"/>
      <c r="F25" s="8"/>
      <c r="G25" s="8"/>
      <c r="H25" s="8"/>
      <c r="I25" s="8"/>
      <c r="J25" s="8"/>
      <c r="K25" s="8"/>
    </row>
    <row r="26" spans="2:11" ht="15.75" customHeight="1" x14ac:dyDescent="0.35">
      <c r="B26" s="8"/>
      <c r="C26" s="9"/>
      <c r="D26" s="8"/>
      <c r="E26" s="8"/>
      <c r="F26" s="8"/>
      <c r="G26" s="8"/>
      <c r="H26" s="8"/>
      <c r="I26" s="8"/>
      <c r="J26" s="8"/>
      <c r="K26" s="8"/>
    </row>
    <row r="27" spans="2:11" ht="15.75" customHeight="1" x14ac:dyDescent="0.35">
      <c r="B27" s="8"/>
      <c r="C27" s="8"/>
      <c r="D27" s="10"/>
      <c r="E27" s="8"/>
      <c r="F27" s="8"/>
      <c r="G27" s="8"/>
      <c r="H27" s="8"/>
      <c r="I27" s="8"/>
      <c r="J27" s="8"/>
      <c r="K27" s="8"/>
    </row>
    <row r="28" spans="2:11" ht="15.75" customHeight="1" x14ac:dyDescent="0.35"/>
    <row r="29" spans="2:11" ht="15.75" customHeight="1" x14ac:dyDescent="0.35"/>
    <row r="30" spans="2:11" ht="15.75" customHeight="1" x14ac:dyDescent="0.35"/>
    <row r="31" spans="2:11" ht="15.75" customHeight="1" x14ac:dyDescent="0.35"/>
    <row r="32" spans="2:11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opLeftCell="A18" workbookViewId="0">
      <selection activeCell="I22" sqref="I22"/>
    </sheetView>
  </sheetViews>
  <sheetFormatPr defaultColWidth="12.6328125" defaultRowHeight="14.5" x14ac:dyDescent="0.35"/>
  <cols>
    <col min="1" max="1" width="12.6328125" style="15" customWidth="1"/>
    <col min="2" max="2" width="17.6328125" style="20" bestFit="1" customWidth="1"/>
    <col min="3" max="3" width="13.36328125" style="20" customWidth="1"/>
    <col min="4" max="5" width="12.6328125" style="25" customWidth="1"/>
    <col min="6" max="6" width="12.6328125" style="20" customWidth="1"/>
    <col min="7" max="7" width="12.6328125" style="1"/>
    <col min="8" max="8" width="16.81640625" style="1" bestFit="1" customWidth="1"/>
    <col min="9" max="10" width="19" style="1" bestFit="1" customWidth="1"/>
    <col min="11" max="16384" width="12.6328125" style="1"/>
  </cols>
  <sheetData>
    <row r="1" spans="1:11" ht="15.75" customHeight="1" thickBot="1" x14ac:dyDescent="0.4">
      <c r="A1" s="11" t="s">
        <v>0</v>
      </c>
      <c r="B1" s="16" t="s">
        <v>1</v>
      </c>
      <c r="C1" s="16" t="s">
        <v>2</v>
      </c>
      <c r="D1" s="21" t="s">
        <v>3</v>
      </c>
      <c r="E1" s="21" t="s">
        <v>4</v>
      </c>
      <c r="F1" s="16" t="s">
        <v>5</v>
      </c>
    </row>
    <row r="2" spans="1:11" ht="15.75" customHeight="1" x14ac:dyDescent="0.35">
      <c r="A2" s="12" t="s">
        <v>19</v>
      </c>
      <c r="B2" s="33" t="s">
        <v>20</v>
      </c>
      <c r="C2" s="17" t="s">
        <v>21</v>
      </c>
      <c r="D2" s="22">
        <v>70</v>
      </c>
      <c r="E2" s="22">
        <v>20</v>
      </c>
      <c r="F2" s="46" t="s">
        <v>52</v>
      </c>
      <c r="H2" s="42" t="s">
        <v>3</v>
      </c>
      <c r="I2" s="43"/>
      <c r="J2" s="44" t="s">
        <v>4</v>
      </c>
      <c r="K2" s="43"/>
    </row>
    <row r="3" spans="1:11" ht="15.75" customHeight="1" x14ac:dyDescent="0.35">
      <c r="A3" s="13" t="s">
        <v>28</v>
      </c>
      <c r="B3" s="32" t="s">
        <v>29</v>
      </c>
      <c r="C3" s="18" t="s">
        <v>30</v>
      </c>
      <c r="D3" s="23">
        <v>90</v>
      </c>
      <c r="E3" s="23">
        <v>35</v>
      </c>
      <c r="F3" s="32" t="s">
        <v>16</v>
      </c>
      <c r="H3" s="40"/>
      <c r="I3" s="38"/>
      <c r="J3" s="36"/>
      <c r="K3" s="38"/>
    </row>
    <row r="4" spans="1:11" ht="15.75" customHeight="1" x14ac:dyDescent="0.35">
      <c r="A4" s="12" t="s">
        <v>77</v>
      </c>
      <c r="B4" s="33" t="s">
        <v>29</v>
      </c>
      <c r="C4" s="17" t="s">
        <v>78</v>
      </c>
      <c r="D4" s="22">
        <v>400</v>
      </c>
      <c r="E4" s="22">
        <v>40</v>
      </c>
      <c r="F4" s="17" t="s">
        <v>16</v>
      </c>
      <c r="H4" s="40" t="s">
        <v>112</v>
      </c>
      <c r="I4" s="38">
        <v>291.54838709677421</v>
      </c>
      <c r="J4" s="36" t="s">
        <v>112</v>
      </c>
      <c r="K4" s="38">
        <v>26.451612903225808</v>
      </c>
    </row>
    <row r="5" spans="1:11" ht="15.75" customHeight="1" x14ac:dyDescent="0.35">
      <c r="A5" s="12" t="s">
        <v>63</v>
      </c>
      <c r="B5" s="33" t="s">
        <v>64</v>
      </c>
      <c r="C5" s="17" t="s">
        <v>65</v>
      </c>
      <c r="D5" s="22">
        <v>700</v>
      </c>
      <c r="E5" s="22">
        <v>50</v>
      </c>
      <c r="F5" s="17" t="s">
        <v>8</v>
      </c>
      <c r="H5" s="40" t="s">
        <v>193</v>
      </c>
      <c r="I5" s="38">
        <v>57.054865854326749</v>
      </c>
      <c r="J5" s="36" t="s">
        <v>193</v>
      </c>
      <c r="K5" s="38">
        <v>2.5101251777368452</v>
      </c>
    </row>
    <row r="6" spans="1:11" ht="15.75" customHeight="1" x14ac:dyDescent="0.35">
      <c r="A6" s="13" t="s">
        <v>60</v>
      </c>
      <c r="B6" s="32" t="s">
        <v>61</v>
      </c>
      <c r="C6" s="18" t="s">
        <v>62</v>
      </c>
      <c r="D6" s="45">
        <v>298</v>
      </c>
      <c r="E6" s="23">
        <v>10</v>
      </c>
      <c r="F6" s="18" t="s">
        <v>37</v>
      </c>
      <c r="H6" s="40" t="s">
        <v>194</v>
      </c>
      <c r="I6" s="38">
        <v>150</v>
      </c>
      <c r="J6" s="36" t="s">
        <v>194</v>
      </c>
      <c r="K6" s="38">
        <v>25</v>
      </c>
    </row>
    <row r="7" spans="1:11" ht="15.75" customHeight="1" x14ac:dyDescent="0.35">
      <c r="A7" s="12" t="s">
        <v>13</v>
      </c>
      <c r="B7" s="33" t="s">
        <v>14</v>
      </c>
      <c r="C7" s="17" t="s">
        <v>15</v>
      </c>
      <c r="D7" s="22">
        <v>130</v>
      </c>
      <c r="E7" s="22">
        <v>40</v>
      </c>
      <c r="F7" s="17" t="s">
        <v>16</v>
      </c>
      <c r="H7" s="40" t="s">
        <v>195</v>
      </c>
      <c r="I7" s="38">
        <v>150</v>
      </c>
      <c r="J7" s="36" t="s">
        <v>195</v>
      </c>
      <c r="K7" s="38">
        <v>20</v>
      </c>
    </row>
    <row r="8" spans="1:11" ht="15.75" customHeight="1" x14ac:dyDescent="0.35">
      <c r="A8" s="12" t="s">
        <v>42</v>
      </c>
      <c r="B8" s="33" t="s">
        <v>14</v>
      </c>
      <c r="C8" s="17" t="s">
        <v>43</v>
      </c>
      <c r="D8" s="22">
        <v>120</v>
      </c>
      <c r="E8" s="22">
        <v>35</v>
      </c>
      <c r="F8" s="46" t="s">
        <v>16</v>
      </c>
      <c r="H8" s="40" t="s">
        <v>196</v>
      </c>
      <c r="I8" s="38">
        <v>317.66804882976794</v>
      </c>
      <c r="J8" s="36" t="s">
        <v>196</v>
      </c>
      <c r="K8" s="38">
        <v>13.975785510845579</v>
      </c>
    </row>
    <row r="9" spans="1:11" ht="15.75" customHeight="1" x14ac:dyDescent="0.35">
      <c r="A9" s="12" t="s">
        <v>79</v>
      </c>
      <c r="B9" s="33" t="s">
        <v>80</v>
      </c>
      <c r="C9" s="17" t="s">
        <v>81</v>
      </c>
      <c r="D9" s="22">
        <v>60</v>
      </c>
      <c r="E9" s="22">
        <v>30</v>
      </c>
      <c r="F9" s="17" t="s">
        <v>12</v>
      </c>
      <c r="H9" s="40" t="s">
        <v>197</v>
      </c>
      <c r="I9" s="38">
        <v>100912.98924731182</v>
      </c>
      <c r="J9" s="36" t="s">
        <v>197</v>
      </c>
      <c r="K9" s="38">
        <v>195.32258064516125</v>
      </c>
    </row>
    <row r="10" spans="1:11" ht="15.75" customHeight="1" x14ac:dyDescent="0.35">
      <c r="A10" s="12" t="s">
        <v>69</v>
      </c>
      <c r="B10" s="33" t="s">
        <v>70</v>
      </c>
      <c r="C10" s="17" t="s">
        <v>71</v>
      </c>
      <c r="D10" s="22">
        <v>150</v>
      </c>
      <c r="E10" s="22">
        <v>30</v>
      </c>
      <c r="F10" s="26" t="s">
        <v>8</v>
      </c>
      <c r="H10" s="40" t="s">
        <v>198</v>
      </c>
      <c r="I10" s="38">
        <v>0.40394330078231544</v>
      </c>
      <c r="J10" s="36" t="s">
        <v>198</v>
      </c>
      <c r="K10" s="38">
        <v>-1.1165820399791193</v>
      </c>
    </row>
    <row r="11" spans="1:11" ht="15.75" customHeight="1" x14ac:dyDescent="0.35">
      <c r="A11" s="12" t="s">
        <v>85</v>
      </c>
      <c r="B11" s="33" t="s">
        <v>70</v>
      </c>
      <c r="C11" s="17" t="s">
        <v>86</v>
      </c>
      <c r="D11" s="22">
        <v>130</v>
      </c>
      <c r="E11" s="22">
        <v>5</v>
      </c>
      <c r="F11" s="46" t="s">
        <v>8</v>
      </c>
      <c r="H11" s="40" t="s">
        <v>199</v>
      </c>
      <c r="I11" s="38">
        <v>1.3821359054776814</v>
      </c>
      <c r="J11" s="36" t="s">
        <v>199</v>
      </c>
      <c r="K11" s="38">
        <v>0.21879907141389121</v>
      </c>
    </row>
    <row r="12" spans="1:11" ht="15.75" customHeight="1" x14ac:dyDescent="0.35">
      <c r="A12" s="13" t="s">
        <v>22</v>
      </c>
      <c r="B12" s="32" t="s">
        <v>23</v>
      </c>
      <c r="C12" s="18" t="s">
        <v>24</v>
      </c>
      <c r="D12" s="45">
        <v>250</v>
      </c>
      <c r="E12" s="23">
        <v>45</v>
      </c>
      <c r="F12" s="18" t="s">
        <v>8</v>
      </c>
      <c r="H12" s="40" t="s">
        <v>200</v>
      </c>
      <c r="I12" s="38">
        <v>970</v>
      </c>
      <c r="J12" s="36" t="s">
        <v>200</v>
      </c>
      <c r="K12" s="38">
        <v>45</v>
      </c>
    </row>
    <row r="13" spans="1:11" ht="15.75" customHeight="1" x14ac:dyDescent="0.35">
      <c r="A13" s="12" t="s">
        <v>47</v>
      </c>
      <c r="B13" s="33" t="s">
        <v>23</v>
      </c>
      <c r="C13" s="17" t="s">
        <v>48</v>
      </c>
      <c r="D13" s="22">
        <v>250</v>
      </c>
      <c r="E13" s="22">
        <v>20</v>
      </c>
      <c r="F13" s="17" t="s">
        <v>8</v>
      </c>
      <c r="H13" s="40" t="s">
        <v>201</v>
      </c>
      <c r="I13" s="38">
        <v>30</v>
      </c>
      <c r="J13" s="36" t="s">
        <v>201</v>
      </c>
      <c r="K13" s="38">
        <v>5</v>
      </c>
    </row>
    <row r="14" spans="1:11" ht="15.75" customHeight="1" x14ac:dyDescent="0.35">
      <c r="A14" s="13" t="s">
        <v>34</v>
      </c>
      <c r="B14" s="32" t="s">
        <v>35</v>
      </c>
      <c r="C14" s="18" t="s">
        <v>36</v>
      </c>
      <c r="D14" s="23">
        <v>130</v>
      </c>
      <c r="E14" s="23">
        <v>10</v>
      </c>
      <c r="F14" s="18" t="s">
        <v>37</v>
      </c>
      <c r="H14" s="40" t="s">
        <v>202</v>
      </c>
      <c r="I14" s="38">
        <v>1000</v>
      </c>
      <c r="J14" s="36" t="s">
        <v>202</v>
      </c>
      <c r="K14" s="38">
        <v>50</v>
      </c>
    </row>
    <row r="15" spans="1:11" ht="15.75" customHeight="1" x14ac:dyDescent="0.35">
      <c r="A15" s="13" t="s">
        <v>87</v>
      </c>
      <c r="B15" s="32" t="s">
        <v>88</v>
      </c>
      <c r="C15" s="18" t="s">
        <v>89</v>
      </c>
      <c r="D15" s="23">
        <v>50</v>
      </c>
      <c r="E15" s="23">
        <v>50</v>
      </c>
      <c r="F15" s="18" t="s">
        <v>12</v>
      </c>
      <c r="H15" s="40" t="s">
        <v>203</v>
      </c>
      <c r="I15" s="38">
        <v>9038</v>
      </c>
      <c r="J15" s="36" t="s">
        <v>203</v>
      </c>
      <c r="K15" s="38">
        <v>820</v>
      </c>
    </row>
    <row r="16" spans="1:11" ht="15.75" customHeight="1" thickBot="1" x14ac:dyDescent="0.4">
      <c r="A16" s="12" t="s">
        <v>6</v>
      </c>
      <c r="B16" s="33" t="s">
        <v>39</v>
      </c>
      <c r="C16" s="17" t="s">
        <v>7</v>
      </c>
      <c r="D16" s="22">
        <v>1000</v>
      </c>
      <c r="E16" s="22">
        <v>30</v>
      </c>
      <c r="F16" s="17" t="s">
        <v>8</v>
      </c>
      <c r="H16" s="41" t="s">
        <v>204</v>
      </c>
      <c r="I16" s="39">
        <v>31</v>
      </c>
      <c r="J16" s="37" t="s">
        <v>204</v>
      </c>
      <c r="K16" s="39">
        <v>31</v>
      </c>
    </row>
    <row r="17" spans="1:9" ht="15.75" customHeight="1" x14ac:dyDescent="0.35">
      <c r="A17" s="12" t="s">
        <v>38</v>
      </c>
      <c r="B17" s="33" t="s">
        <v>39</v>
      </c>
      <c r="C17" s="17" t="s">
        <v>40</v>
      </c>
      <c r="D17" s="22">
        <v>950</v>
      </c>
      <c r="E17" s="22">
        <v>25</v>
      </c>
      <c r="F17" s="17" t="s">
        <v>8</v>
      </c>
    </row>
    <row r="18" spans="1:9" ht="15.75" customHeight="1" x14ac:dyDescent="0.35">
      <c r="A18" s="13" t="s">
        <v>55</v>
      </c>
      <c r="B18" s="32" t="s">
        <v>39</v>
      </c>
      <c r="C18" s="18" t="s">
        <v>56</v>
      </c>
      <c r="D18" s="23">
        <v>980</v>
      </c>
      <c r="E18" s="23">
        <v>10</v>
      </c>
      <c r="F18" s="18" t="s">
        <v>8</v>
      </c>
    </row>
    <row r="19" spans="1:9" ht="15.75" customHeight="1" x14ac:dyDescent="0.35">
      <c r="A19" s="13" t="s">
        <v>49</v>
      </c>
      <c r="B19" s="32" t="s">
        <v>50</v>
      </c>
      <c r="C19" s="18" t="s">
        <v>51</v>
      </c>
      <c r="D19" s="23">
        <v>50</v>
      </c>
      <c r="E19" s="23">
        <v>35</v>
      </c>
      <c r="F19" s="18" t="s">
        <v>52</v>
      </c>
    </row>
    <row r="20" spans="1:9" ht="15.75" customHeight="1" x14ac:dyDescent="0.35">
      <c r="A20" s="13" t="s">
        <v>66</v>
      </c>
      <c r="B20" s="32" t="s">
        <v>67</v>
      </c>
      <c r="C20" s="18" t="s">
        <v>68</v>
      </c>
      <c r="D20" s="23">
        <v>80</v>
      </c>
      <c r="E20" s="23">
        <v>20</v>
      </c>
      <c r="F20" s="18" t="s">
        <v>16</v>
      </c>
    </row>
    <row r="21" spans="1:9" ht="15.75" customHeight="1" x14ac:dyDescent="0.35">
      <c r="A21" s="13" t="s">
        <v>17</v>
      </c>
      <c r="B21" s="32" t="s">
        <v>73</v>
      </c>
      <c r="C21" s="18" t="s">
        <v>18</v>
      </c>
      <c r="D21" s="23">
        <v>900</v>
      </c>
      <c r="E21" s="23">
        <v>25</v>
      </c>
      <c r="F21" s="18" t="s">
        <v>8</v>
      </c>
    </row>
    <row r="22" spans="1:9" ht="15.75" customHeight="1" x14ac:dyDescent="0.35">
      <c r="A22" s="12" t="s">
        <v>72</v>
      </c>
      <c r="B22" s="33" t="s">
        <v>73</v>
      </c>
      <c r="C22" s="17" t="s">
        <v>74</v>
      </c>
      <c r="D22" s="22">
        <v>800</v>
      </c>
      <c r="E22" s="22">
        <v>45</v>
      </c>
      <c r="F22" s="17" t="s">
        <v>8</v>
      </c>
    </row>
    <row r="23" spans="1:9" ht="15.75" customHeight="1" x14ac:dyDescent="0.35">
      <c r="A23" s="13" t="s">
        <v>44</v>
      </c>
      <c r="B23" s="32" t="s">
        <v>45</v>
      </c>
      <c r="C23" s="18" t="s">
        <v>46</v>
      </c>
      <c r="D23" s="23">
        <v>150</v>
      </c>
      <c r="E23" s="23">
        <v>15</v>
      </c>
      <c r="F23" s="32" t="s">
        <v>8</v>
      </c>
    </row>
    <row r="24" spans="1:9" ht="15.75" customHeight="1" x14ac:dyDescent="0.35">
      <c r="A24" s="12" t="s">
        <v>53</v>
      </c>
      <c r="B24" s="33" t="s">
        <v>45</v>
      </c>
      <c r="C24" s="17" t="s">
        <v>54</v>
      </c>
      <c r="D24" s="22">
        <v>160</v>
      </c>
      <c r="E24" s="22">
        <v>15</v>
      </c>
      <c r="F24" s="17" t="s">
        <v>8</v>
      </c>
      <c r="G24" s="2"/>
    </row>
    <row r="25" spans="1:9" ht="15.75" customHeight="1" x14ac:dyDescent="0.35">
      <c r="A25" s="13" t="s">
        <v>9</v>
      </c>
      <c r="B25" s="32" t="s">
        <v>10</v>
      </c>
      <c r="C25" s="18" t="s">
        <v>11</v>
      </c>
      <c r="D25" s="23">
        <v>80</v>
      </c>
      <c r="E25" s="23">
        <v>15</v>
      </c>
      <c r="F25" s="18" t="s">
        <v>12</v>
      </c>
    </row>
    <row r="26" spans="1:9" ht="15.75" customHeight="1" x14ac:dyDescent="0.35">
      <c r="A26" s="13" t="s">
        <v>41</v>
      </c>
      <c r="B26" s="32" t="s">
        <v>10</v>
      </c>
      <c r="C26" s="18" t="s">
        <v>27</v>
      </c>
      <c r="D26" s="23">
        <v>90</v>
      </c>
      <c r="E26" s="23">
        <v>40</v>
      </c>
      <c r="F26" s="47" t="s">
        <v>12</v>
      </c>
    </row>
    <row r="27" spans="1:9" ht="15.75" customHeight="1" x14ac:dyDescent="0.35">
      <c r="A27" s="12" t="s">
        <v>57</v>
      </c>
      <c r="B27" s="33" t="s">
        <v>58</v>
      </c>
      <c r="C27" s="17" t="s">
        <v>59</v>
      </c>
      <c r="D27" s="22">
        <v>150</v>
      </c>
      <c r="E27" s="22">
        <v>15</v>
      </c>
      <c r="F27" s="17" t="s">
        <v>12</v>
      </c>
    </row>
    <row r="28" spans="1:9" ht="15.75" customHeight="1" x14ac:dyDescent="0.35">
      <c r="A28" s="13" t="s">
        <v>75</v>
      </c>
      <c r="B28" s="32" t="s">
        <v>58</v>
      </c>
      <c r="C28" s="18" t="s">
        <v>76</v>
      </c>
      <c r="D28" s="45">
        <v>150</v>
      </c>
      <c r="E28" s="23">
        <v>25</v>
      </c>
      <c r="F28" s="18" t="s">
        <v>12</v>
      </c>
    </row>
    <row r="29" spans="1:9" ht="15.75" customHeight="1" x14ac:dyDescent="0.35">
      <c r="A29" s="12" t="s">
        <v>31</v>
      </c>
      <c r="B29" s="33" t="s">
        <v>32</v>
      </c>
      <c r="C29" s="17" t="s">
        <v>33</v>
      </c>
      <c r="D29" s="22">
        <v>500</v>
      </c>
      <c r="E29" s="22">
        <v>50</v>
      </c>
      <c r="F29" s="33" t="s">
        <v>8</v>
      </c>
      <c r="H29" s="29" t="s">
        <v>112</v>
      </c>
      <c r="I29" s="29"/>
    </row>
    <row r="30" spans="1:9" ht="15.75" customHeight="1" x14ac:dyDescent="0.35">
      <c r="A30" s="13" t="s">
        <v>82</v>
      </c>
      <c r="B30" s="32" t="s">
        <v>83</v>
      </c>
      <c r="C30" s="18" t="s">
        <v>84</v>
      </c>
      <c r="D30" s="23">
        <v>40</v>
      </c>
      <c r="E30" s="23">
        <v>10</v>
      </c>
      <c r="F30" s="18" t="s">
        <v>16</v>
      </c>
      <c r="H30" s="30">
        <f>AVERAGE(D2:D32)</f>
        <v>291.54838709677421</v>
      </c>
      <c r="I30" s="31" t="s">
        <v>113</v>
      </c>
    </row>
    <row r="31" spans="1:9" ht="15.75" customHeight="1" x14ac:dyDescent="0.35">
      <c r="A31" s="12" t="s">
        <v>25</v>
      </c>
      <c r="B31" s="33" t="s">
        <v>26</v>
      </c>
      <c r="C31" s="17" t="s">
        <v>27</v>
      </c>
      <c r="D31" s="22">
        <v>30</v>
      </c>
      <c r="E31" s="22">
        <v>5</v>
      </c>
      <c r="F31" s="17" t="s">
        <v>12</v>
      </c>
      <c r="H31" s="31">
        <f>AVERAGEIF(B2:B32,"Headphones",D2:D32)</f>
        <v>250</v>
      </c>
      <c r="I31" s="31" t="s">
        <v>114</v>
      </c>
    </row>
    <row r="32" spans="1:9" ht="15.75" customHeight="1" x14ac:dyDescent="0.35">
      <c r="A32" s="13" t="s">
        <v>90</v>
      </c>
      <c r="B32" s="32" t="s">
        <v>91</v>
      </c>
      <c r="C32" s="18" t="s">
        <v>92</v>
      </c>
      <c r="D32" s="23">
        <v>100</v>
      </c>
      <c r="E32" s="23">
        <v>20</v>
      </c>
      <c r="F32" s="18" t="s">
        <v>52</v>
      </c>
      <c r="H32" s="31">
        <f>AVERAGEIF(B2:B32,"Sunglasses",D2:D32)</f>
        <v>150</v>
      </c>
      <c r="I32" s="31" t="s">
        <v>115</v>
      </c>
    </row>
    <row r="33" spans="1:7" ht="15.75" customHeight="1" x14ac:dyDescent="0.35">
      <c r="A33" s="14"/>
      <c r="B33" s="19"/>
      <c r="C33" s="19"/>
      <c r="D33" s="24"/>
      <c r="E33" s="24"/>
      <c r="F33" s="19"/>
    </row>
    <row r="34" spans="1:7" ht="15.75" customHeight="1" x14ac:dyDescent="0.35">
      <c r="A34" s="27">
        <f>COUNTBLANK(A2:A32)</f>
        <v>0</v>
      </c>
      <c r="B34" s="27">
        <f>COUNTBLANK(B2:B32)</f>
        <v>0</v>
      </c>
      <c r="C34" s="27">
        <f>COUNTBLANK(C2:C32)</f>
        <v>0</v>
      </c>
      <c r="D34" s="27">
        <f>COUNTBLANK(D2:D32)</f>
        <v>0</v>
      </c>
      <c r="E34" s="27">
        <f>COUNTBLANK(E2:E32)</f>
        <v>0</v>
      </c>
      <c r="F34" s="27">
        <f>COUNTBLANK(F2:F32)</f>
        <v>0</v>
      </c>
      <c r="G34" s="28" t="s">
        <v>116</v>
      </c>
    </row>
    <row r="35" spans="1:7" ht="15.75" customHeight="1" x14ac:dyDescent="0.35">
      <c r="A35" s="14"/>
      <c r="B35" s="19"/>
      <c r="C35" s="19"/>
      <c r="D35" s="24"/>
      <c r="E35" s="24"/>
      <c r="F35" s="19"/>
    </row>
    <row r="36" spans="1:7" ht="15.75" customHeight="1" x14ac:dyDescent="0.35"/>
    <row r="37" spans="1:7" ht="15.75" customHeight="1" x14ac:dyDescent="0.35"/>
    <row r="38" spans="1:7" ht="15.75" customHeight="1" x14ac:dyDescent="0.35"/>
    <row r="39" spans="1:7" ht="15.75" customHeight="1" x14ac:dyDescent="0.35"/>
    <row r="40" spans="1:7" ht="15.75" customHeight="1" x14ac:dyDescent="0.35"/>
    <row r="41" spans="1:7" ht="15.75" customHeight="1" x14ac:dyDescent="0.35"/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">
    <mergeCell ref="H29:I29"/>
    <mergeCell ref="H2:I2"/>
    <mergeCell ref="J2:K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17" workbookViewId="0">
      <selection activeCell="I27" sqref="I27"/>
    </sheetView>
  </sheetViews>
  <sheetFormatPr defaultRowHeight="14.5" x14ac:dyDescent="0.35"/>
  <cols>
    <col min="1" max="1" width="20.08984375" style="35" bestFit="1" customWidth="1"/>
    <col min="2" max="2" width="14.54296875" bestFit="1" customWidth="1"/>
    <col min="3" max="3" width="21.453125" bestFit="1" customWidth="1"/>
    <col min="4" max="4" width="9.90625" style="34" bestFit="1" customWidth="1"/>
    <col min="5" max="5" width="10.453125" bestFit="1" customWidth="1"/>
    <col min="6" max="6" width="10.54296875" bestFit="1" customWidth="1"/>
  </cols>
  <sheetData>
    <row r="1" spans="1:6" x14ac:dyDescent="0.35">
      <c r="A1" s="35" t="s">
        <v>117</v>
      </c>
      <c r="B1" s="14" t="s">
        <v>118</v>
      </c>
      <c r="C1" s="14" t="s">
        <v>119</v>
      </c>
      <c r="D1" s="34" t="s">
        <v>3</v>
      </c>
      <c r="E1" s="14" t="s">
        <v>4</v>
      </c>
      <c r="F1" s="14" t="s">
        <v>5</v>
      </c>
    </row>
    <row r="2" spans="1:6" x14ac:dyDescent="0.35">
      <c r="A2" s="35" t="s">
        <v>120</v>
      </c>
      <c r="B2" s="14" t="s">
        <v>121</v>
      </c>
      <c r="C2" s="14" t="s">
        <v>122</v>
      </c>
      <c r="D2" s="34">
        <v>70</v>
      </c>
      <c r="E2" s="14">
        <v>20</v>
      </c>
      <c r="F2" s="14" t="s">
        <v>52</v>
      </c>
    </row>
    <row r="3" spans="1:6" x14ac:dyDescent="0.35">
      <c r="A3" s="35" t="s">
        <v>123</v>
      </c>
      <c r="B3" s="14" t="s">
        <v>124</v>
      </c>
      <c r="C3" s="14" t="s">
        <v>125</v>
      </c>
      <c r="D3" s="34">
        <v>90</v>
      </c>
      <c r="E3" s="14">
        <v>35</v>
      </c>
      <c r="F3" s="14" t="s">
        <v>16</v>
      </c>
    </row>
    <row r="4" spans="1:6" x14ac:dyDescent="0.35">
      <c r="A4" s="35" t="s">
        <v>126</v>
      </c>
      <c r="B4" s="14" t="s">
        <v>127</v>
      </c>
      <c r="C4" s="14" t="s">
        <v>128</v>
      </c>
      <c r="D4" s="34">
        <v>400</v>
      </c>
      <c r="E4" s="14">
        <v>40</v>
      </c>
      <c r="F4" s="14" t="s">
        <v>16</v>
      </c>
    </row>
    <row r="5" spans="1:6" x14ac:dyDescent="0.35">
      <c r="A5" s="35" t="s">
        <v>129</v>
      </c>
      <c r="B5" s="14" t="s">
        <v>130</v>
      </c>
      <c r="C5" s="14" t="s">
        <v>131</v>
      </c>
      <c r="D5" s="34">
        <v>700</v>
      </c>
      <c r="E5" s="14">
        <v>50</v>
      </c>
      <c r="F5" s="14" t="s">
        <v>8</v>
      </c>
    </row>
    <row r="6" spans="1:6" x14ac:dyDescent="0.35">
      <c r="A6" s="35" t="s">
        <v>132</v>
      </c>
      <c r="B6" s="14" t="s">
        <v>121</v>
      </c>
      <c r="C6" s="14" t="s">
        <v>133</v>
      </c>
      <c r="D6" s="34">
        <v>298</v>
      </c>
      <c r="E6" s="14">
        <v>10</v>
      </c>
      <c r="F6" s="14" t="s">
        <v>37</v>
      </c>
    </row>
    <row r="7" spans="1:6" x14ac:dyDescent="0.35">
      <c r="A7" s="35" t="s">
        <v>134</v>
      </c>
      <c r="B7" s="14" t="s">
        <v>121</v>
      </c>
      <c r="C7" s="14" t="s">
        <v>135</v>
      </c>
      <c r="D7" s="34">
        <v>130</v>
      </c>
      <c r="E7" s="14">
        <v>40</v>
      </c>
      <c r="F7" s="14" t="s">
        <v>16</v>
      </c>
    </row>
    <row r="8" spans="1:6" x14ac:dyDescent="0.35">
      <c r="A8" s="35" t="s">
        <v>136</v>
      </c>
      <c r="B8" s="14" t="s">
        <v>137</v>
      </c>
      <c r="C8" s="14" t="s">
        <v>138</v>
      </c>
      <c r="D8" s="34">
        <v>120</v>
      </c>
      <c r="E8" s="14">
        <v>35</v>
      </c>
      <c r="F8" s="14" t="s">
        <v>16</v>
      </c>
    </row>
    <row r="9" spans="1:6" x14ac:dyDescent="0.35">
      <c r="A9" s="35" t="s">
        <v>139</v>
      </c>
      <c r="B9" s="14" t="s">
        <v>127</v>
      </c>
      <c r="C9" s="14" t="s">
        <v>140</v>
      </c>
      <c r="D9" s="34">
        <v>60</v>
      </c>
      <c r="E9" s="14">
        <v>30</v>
      </c>
      <c r="F9" s="14" t="s">
        <v>12</v>
      </c>
    </row>
    <row r="10" spans="1:6" x14ac:dyDescent="0.35">
      <c r="A10" s="35" t="s">
        <v>144</v>
      </c>
      <c r="B10" s="14" t="s">
        <v>127</v>
      </c>
      <c r="C10" s="14" t="s">
        <v>145</v>
      </c>
      <c r="D10" s="34">
        <v>130</v>
      </c>
      <c r="E10" s="14">
        <v>5</v>
      </c>
      <c r="F10" s="14" t="s">
        <v>8</v>
      </c>
    </row>
    <row r="11" spans="1:6" x14ac:dyDescent="0.35">
      <c r="A11" s="35" t="s">
        <v>141</v>
      </c>
      <c r="B11" s="14" t="s">
        <v>142</v>
      </c>
      <c r="C11" s="14" t="s">
        <v>143</v>
      </c>
      <c r="D11" s="34">
        <v>150</v>
      </c>
      <c r="E11" s="14">
        <v>30</v>
      </c>
      <c r="F11" s="14" t="s">
        <v>8</v>
      </c>
    </row>
    <row r="12" spans="1:6" x14ac:dyDescent="0.35">
      <c r="A12" s="35" t="s">
        <v>148</v>
      </c>
      <c r="B12" s="14" t="s">
        <v>149</v>
      </c>
      <c r="C12" s="14" t="s">
        <v>150</v>
      </c>
      <c r="D12" s="34">
        <v>250</v>
      </c>
      <c r="E12" s="14">
        <v>20</v>
      </c>
      <c r="F12" s="14" t="s">
        <v>8</v>
      </c>
    </row>
    <row r="13" spans="1:6" x14ac:dyDescent="0.35">
      <c r="A13" s="35" t="s">
        <v>146</v>
      </c>
      <c r="B13" s="14" t="s">
        <v>124</v>
      </c>
      <c r="C13" s="14" t="s">
        <v>147</v>
      </c>
      <c r="D13" s="34">
        <v>250</v>
      </c>
      <c r="E13" s="14">
        <v>45</v>
      </c>
      <c r="F13" s="14" t="s">
        <v>8</v>
      </c>
    </row>
    <row r="14" spans="1:6" x14ac:dyDescent="0.35">
      <c r="A14" s="35" t="s">
        <v>151</v>
      </c>
      <c r="B14" s="14" t="s">
        <v>124</v>
      </c>
      <c r="C14" s="14" t="s">
        <v>152</v>
      </c>
      <c r="D14" s="34">
        <v>130</v>
      </c>
      <c r="E14" s="14">
        <v>10</v>
      </c>
      <c r="F14" s="14" t="s">
        <v>37</v>
      </c>
    </row>
    <row r="15" spans="1:6" x14ac:dyDescent="0.35">
      <c r="A15" s="35" t="s">
        <v>153</v>
      </c>
      <c r="B15" s="14" t="s">
        <v>127</v>
      </c>
      <c r="C15" s="14" t="s">
        <v>154</v>
      </c>
      <c r="D15" s="34">
        <v>50</v>
      </c>
      <c r="E15" s="14">
        <v>50</v>
      </c>
      <c r="F15" s="14" t="s">
        <v>12</v>
      </c>
    </row>
    <row r="16" spans="1:6" x14ac:dyDescent="0.35">
      <c r="A16" s="35" t="s">
        <v>160</v>
      </c>
      <c r="B16" s="14" t="s">
        <v>161</v>
      </c>
      <c r="C16" s="14" t="s">
        <v>162</v>
      </c>
      <c r="D16" s="34">
        <v>980</v>
      </c>
      <c r="E16" s="14">
        <v>10</v>
      </c>
      <c r="F16" s="14" t="s">
        <v>8</v>
      </c>
    </row>
    <row r="17" spans="1:6" x14ac:dyDescent="0.35">
      <c r="A17" s="35" t="s">
        <v>163</v>
      </c>
      <c r="B17" s="14" t="s">
        <v>127</v>
      </c>
      <c r="C17" s="14" t="s">
        <v>164</v>
      </c>
      <c r="D17" s="34">
        <v>50</v>
      </c>
      <c r="E17" s="14">
        <v>35</v>
      </c>
      <c r="F17" s="14" t="s">
        <v>52</v>
      </c>
    </row>
    <row r="18" spans="1:6" x14ac:dyDescent="0.35">
      <c r="A18" s="35" t="s">
        <v>155</v>
      </c>
      <c r="B18" s="14" t="s">
        <v>121</v>
      </c>
      <c r="C18" s="14" t="s">
        <v>156</v>
      </c>
      <c r="D18" s="34">
        <v>1000</v>
      </c>
      <c r="E18" s="14">
        <v>30</v>
      </c>
      <c r="F18" s="14" t="s">
        <v>8</v>
      </c>
    </row>
    <row r="19" spans="1:6" x14ac:dyDescent="0.35">
      <c r="A19" s="35" t="s">
        <v>157</v>
      </c>
      <c r="B19" s="14" t="s">
        <v>158</v>
      </c>
      <c r="C19" s="14" t="s">
        <v>159</v>
      </c>
      <c r="D19" s="34">
        <v>950</v>
      </c>
      <c r="E19" s="14">
        <v>25</v>
      </c>
      <c r="F19" s="14" t="s">
        <v>8</v>
      </c>
    </row>
    <row r="20" spans="1:6" x14ac:dyDescent="0.35">
      <c r="A20" s="35" t="s">
        <v>165</v>
      </c>
      <c r="B20" s="14" t="s">
        <v>127</v>
      </c>
      <c r="C20" s="14" t="s">
        <v>166</v>
      </c>
      <c r="D20" s="34">
        <v>80</v>
      </c>
      <c r="E20" s="14">
        <v>20</v>
      </c>
      <c r="F20" s="14" t="s">
        <v>16</v>
      </c>
    </row>
    <row r="21" spans="1:6" x14ac:dyDescent="0.35">
      <c r="A21" s="35" t="s">
        <v>169</v>
      </c>
      <c r="B21" s="14" t="s">
        <v>127</v>
      </c>
      <c r="C21" s="14" t="s">
        <v>170</v>
      </c>
      <c r="D21" s="34">
        <v>800</v>
      </c>
      <c r="E21" s="14">
        <v>45</v>
      </c>
      <c r="F21" s="14" t="s">
        <v>8</v>
      </c>
    </row>
    <row r="22" spans="1:6" x14ac:dyDescent="0.35">
      <c r="A22" s="35" t="s">
        <v>167</v>
      </c>
      <c r="B22" s="14" t="s">
        <v>121</v>
      </c>
      <c r="C22" s="14" t="s">
        <v>168</v>
      </c>
      <c r="D22" s="34">
        <v>900</v>
      </c>
      <c r="E22" s="14">
        <v>25</v>
      </c>
      <c r="F22" s="14" t="s">
        <v>8</v>
      </c>
    </row>
    <row r="23" spans="1:6" x14ac:dyDescent="0.35">
      <c r="A23" s="35" t="s">
        <v>171</v>
      </c>
      <c r="B23" s="14" t="s">
        <v>127</v>
      </c>
      <c r="C23" s="14" t="s">
        <v>172</v>
      </c>
      <c r="D23" s="34">
        <v>150</v>
      </c>
      <c r="E23" s="14">
        <v>15</v>
      </c>
      <c r="F23" s="14" t="s">
        <v>8</v>
      </c>
    </row>
    <row r="24" spans="1:6" x14ac:dyDescent="0.35">
      <c r="A24" s="35" t="s">
        <v>173</v>
      </c>
      <c r="B24" s="14" t="s">
        <v>174</v>
      </c>
      <c r="C24" s="14" t="s">
        <v>175</v>
      </c>
      <c r="D24" s="34">
        <v>160</v>
      </c>
      <c r="E24" s="14">
        <v>15</v>
      </c>
      <c r="F24" s="14" t="s">
        <v>8</v>
      </c>
    </row>
    <row r="25" spans="1:6" x14ac:dyDescent="0.35">
      <c r="A25" s="35" t="s">
        <v>178</v>
      </c>
      <c r="B25" s="14" t="s">
        <v>179</v>
      </c>
      <c r="C25" s="14" t="s">
        <v>180</v>
      </c>
      <c r="D25" s="34">
        <v>90</v>
      </c>
      <c r="E25" s="14">
        <v>40</v>
      </c>
      <c r="F25" s="14" t="s">
        <v>12</v>
      </c>
    </row>
    <row r="26" spans="1:6" x14ac:dyDescent="0.35">
      <c r="A26" s="35" t="s">
        <v>176</v>
      </c>
      <c r="B26" s="14" t="s">
        <v>121</v>
      </c>
      <c r="C26" s="14" t="s">
        <v>177</v>
      </c>
      <c r="D26" s="34">
        <v>80</v>
      </c>
      <c r="E26" s="14">
        <v>15</v>
      </c>
      <c r="F26" s="14" t="s">
        <v>12</v>
      </c>
    </row>
    <row r="27" spans="1:6" x14ac:dyDescent="0.35">
      <c r="A27" s="35" t="s">
        <v>181</v>
      </c>
      <c r="B27" s="14" t="s">
        <v>124</v>
      </c>
      <c r="C27" s="14" t="s">
        <v>182</v>
      </c>
      <c r="D27" s="34">
        <v>150</v>
      </c>
      <c r="E27" s="14">
        <v>15</v>
      </c>
      <c r="F27" s="14" t="s">
        <v>12</v>
      </c>
    </row>
    <row r="28" spans="1:6" x14ac:dyDescent="0.35">
      <c r="A28" s="35" t="s">
        <v>183</v>
      </c>
      <c r="B28" s="14" t="s">
        <v>127</v>
      </c>
      <c r="C28" s="14" t="s">
        <v>184</v>
      </c>
      <c r="D28" s="34">
        <v>150</v>
      </c>
      <c r="E28" s="14">
        <v>25</v>
      </c>
      <c r="F28" s="14" t="s">
        <v>12</v>
      </c>
    </row>
    <row r="29" spans="1:6" x14ac:dyDescent="0.35">
      <c r="A29" s="35" t="s">
        <v>185</v>
      </c>
      <c r="B29" s="14" t="s">
        <v>124</v>
      </c>
      <c r="C29" s="14" t="s">
        <v>186</v>
      </c>
      <c r="D29" s="34">
        <v>500</v>
      </c>
      <c r="E29" s="14">
        <v>50</v>
      </c>
      <c r="F29" s="14" t="s">
        <v>8</v>
      </c>
    </row>
    <row r="30" spans="1:6" x14ac:dyDescent="0.35">
      <c r="A30" s="35" t="s">
        <v>187</v>
      </c>
      <c r="B30" s="14" t="s">
        <v>127</v>
      </c>
      <c r="C30" s="14" t="s">
        <v>188</v>
      </c>
      <c r="D30" s="34">
        <v>40</v>
      </c>
      <c r="E30" s="14">
        <v>10</v>
      </c>
      <c r="F30" s="14" t="s">
        <v>16</v>
      </c>
    </row>
    <row r="31" spans="1:6" x14ac:dyDescent="0.35">
      <c r="A31" s="35" t="s">
        <v>141</v>
      </c>
      <c r="B31" s="14" t="s">
        <v>124</v>
      </c>
      <c r="C31" s="14" t="s">
        <v>189</v>
      </c>
      <c r="D31" s="34">
        <v>30</v>
      </c>
      <c r="E31" s="14">
        <v>5</v>
      </c>
      <c r="F31" s="14" t="s">
        <v>12</v>
      </c>
    </row>
    <row r="32" spans="1:6" x14ac:dyDescent="0.35">
      <c r="A32" s="35" t="s">
        <v>190</v>
      </c>
      <c r="B32" s="14" t="s">
        <v>191</v>
      </c>
      <c r="C32" s="14" t="s">
        <v>192</v>
      </c>
      <c r="D32" s="34">
        <v>100</v>
      </c>
      <c r="E32" s="14">
        <v>20</v>
      </c>
      <c r="F32" s="14" t="s">
        <v>52</v>
      </c>
    </row>
  </sheetData>
  <conditionalFormatting sqref="D1:D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{FF4B4B6A-5B88-4935-AEA3-5B70099B1965}</x14:id>
        </ext>
      </extLst>
    </cfRule>
  </conditionalFormatting>
  <conditionalFormatting sqref="F1:F1048576">
    <cfRule type="cellIs" dxfId="1" priority="1" operator="equal">
      <formula>"Electronics"</formula>
    </cfRule>
    <cfRule type="cellIs" dxfId="0" priority="2" operator="equal">
      <formula>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4B4B6A-5B88-4935-AEA3-5B70099B19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F99F2-A7BF-4722-8293-E4FD7BCAE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PQE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Vanitha S</dc:creator>
  <cp:lastModifiedBy>Vanitha S</cp:lastModifiedBy>
  <dcterms:created xsi:type="dcterms:W3CDTF">2025-07-10T12:36:41Z</dcterms:created>
  <dcterms:modified xsi:type="dcterms:W3CDTF">2025-07-11T06:42:41Z</dcterms:modified>
</cp:coreProperties>
</file>